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jn Projecten\Blockception\VSCode-Bedrock-Development-Extension\tools\"/>
    </mc:Choice>
  </mc:AlternateContent>
  <xr:revisionPtr revIDLastSave="0" documentId="13_ncr:1_{CB8E0419-8B43-44D0-8A83-8E3BBEC95F73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Sheet1" sheetId="1" r:id="rId1"/>
    <sheet name="Data" sheetId="2" r:id="rId2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E2" i="1"/>
  <c r="E3" i="1"/>
  <c r="E4" i="1"/>
  <c r="E5" i="1"/>
  <c r="E6" i="1"/>
  <c r="E7" i="1"/>
  <c r="E8" i="1"/>
  <c r="E9" i="1"/>
  <c r="E10" i="1"/>
  <c r="E11" i="1"/>
  <c r="E12" i="1"/>
  <c r="E13" i="1"/>
  <c r="F2" i="1"/>
  <c r="G2" i="1" s="1"/>
  <c r="F3" i="1"/>
  <c r="G3" i="1" s="1"/>
  <c r="F4" i="1"/>
  <c r="G4" i="1" s="1"/>
  <c r="F5" i="1"/>
  <c r="G5" i="1" s="1"/>
  <c r="F6" i="1"/>
  <c r="F7" i="1"/>
  <c r="F8" i="1"/>
  <c r="F9" i="1"/>
  <c r="F10" i="1"/>
  <c r="F11" i="1"/>
  <c r="G11" i="1" s="1"/>
  <c r="F12" i="1"/>
  <c r="G12" i="1" s="1"/>
  <c r="F13" i="1"/>
  <c r="G13" i="1" s="1"/>
  <c r="G6" i="1"/>
  <c r="G7" i="1"/>
  <c r="G8" i="1"/>
  <c r="G9" i="1"/>
  <c r="G10" i="1"/>
  <c r="H2" i="1"/>
  <c r="H3" i="1"/>
  <c r="H4" i="1"/>
  <c r="H5" i="1"/>
  <c r="H6" i="1"/>
  <c r="H7" i="1"/>
  <c r="H8" i="1"/>
  <c r="H9" i="1"/>
  <c r="H10" i="1"/>
  <c r="H11" i="1"/>
  <c r="H12" i="1"/>
  <c r="H13" i="1"/>
  <c r="K2" i="1" l="1"/>
</calcChain>
</file>

<file path=xl/sharedStrings.xml><?xml version="1.0" encoding="utf-8"?>
<sst xmlns="http://schemas.openxmlformats.org/spreadsheetml/2006/main" count="46" uniqueCount="35">
  <si>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</si>
  <si>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</si>
  <si>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</si>
  <si>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</si>
  <si>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</si>
  <si>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</si>
  <si>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</si>
  <si>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</si>
  <si>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</si>
  <si>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>avoid_water</t>
  </si>
  <si>
    <t>Boolean</t>
  </si>
  <si>
    <t>avoid_portals</t>
  </si>
  <si>
    <t>Tells the pathfinder to avoid portals (like nether portals) when finding a path</t>
  </si>
  <si>
    <t>avoid_sun</t>
  </si>
  <si>
    <t>Whether or not the pathfinder should avoid tiles that are exposed to the sun when creating paths</t>
  </si>
  <si>
    <t>Tells the pathfinder to avoid water when creating a path</t>
  </si>
  <si>
    <t>can_break_doors</t>
  </si>
  <si>
    <t>Tells the pathfinder that it can path through a closed door and break it</t>
  </si>
  <si>
    <t>can_open_doors</t>
  </si>
  <si>
    <t>Tells the pathfinder that it can path through a closed door assuming the AI will open the door</t>
  </si>
  <si>
    <t>can_open_iron_doors</t>
  </si>
  <si>
    <t>Tells the pathfinder that it can path through a closed iron door assuming the AI will open the door</t>
  </si>
  <si>
    <t>can_pass_doors</t>
  </si>
  <si>
    <t>Whether a path can be created through a door</t>
  </si>
  <si>
    <t>can_path_from_air</t>
  </si>
  <si>
    <t>Tells the pathfinder that it can start pathing when in the air</t>
  </si>
  <si>
    <t>can_path_over_lava</t>
  </si>
  <si>
    <t>Tells the pathfinder whether or not it can travel on the surface of the lava</t>
  </si>
  <si>
    <t>can_path_over_water</t>
  </si>
  <si>
    <t>Tells the pathfinder whether or not it can travel on the surface of the water</t>
  </si>
  <si>
    <t>can_sink</t>
  </si>
  <si>
    <t>Tells the pathfinder whether or not it will be pulled down by gravity while in water</t>
  </si>
  <si>
    <t>can_walk_in_lava</t>
  </si>
  <si>
    <t>Tells the pathfinder whether or not it can travel in lava like walking on ground</t>
  </si>
  <si>
    <t xml:space="preserve">    "$NAME$": {
      "type": "$TYPE$",
      "default": $VALUE$,
      "description": "$DESCRIPTION$",
      "title": "$TITLE$"
    },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</si>
</sst>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13" totalsRowShown="0">
  <autoFilter ref="A1:I13" xr:uid="{439841C6-9CB3-4077-BD6A-80332BFA4FFA}"/>
  <sortState xmlns:xlrd2="http://schemas.microsoft.com/office/spreadsheetml/2017/richdata2" ref="A2:I13">
    <sortCondition ref="A1:A13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1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0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14"/>
  <sheetViews>
    <sheetView tabSelected="1" topLeftCell="B1" workbookViewId="0">
      <selection activeCell="R1" sqref="R1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4" t="s">
        <v>11</v>
      </c>
      <c r="B2" s="4" t="s">
        <v>10</v>
      </c>
      <c r="C2" s="4" t="b">
        <v>0</v>
      </c>
      <c r="D2" s="4" t="s">
        <v>12</v>
      </c>
      <c r="E2" t="str">
        <f>Table1[[#This Row],[Name]]</f>
        <v>avoid_portals</v>
      </c>
      <c r="F2" t="str">
        <f>SUBSTITUTE(SUBSTITUTE(LOWER(Table1[[#This Row],[Type]]),"decimal", "number"), "list", "array")</f>
        <v>boolean</v>
      </c>
      <c r="G2" s="3" t="str">
        <f>IF(Table1[[#This Row],[Ctype]]="string", CHAR(34) &amp; Table1[[#This Row],[Default Value]] &amp; CHAR(34), LOWER(Table1[[#This Row],[Default Value]]))</f>
        <v>false</v>
      </c>
      <c r="H2" t="str">
        <f>SUBSTITUTE(Table1[[#This Row],[Description]], CHAR(34), "\" &amp; CHAR(34))</f>
        <v>Tells the pathfinder to avoid portals (like nether portals) when finding a path</v>
      </c>
      <c r="I2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"avoid_portals": {
      "type": "boolean",
      "default": false,
      "description": "Tells the pathfinder to avoid portals (like nether portals) when finding a path",
      "title": "avoid_portals"
    },
</v>
      </c>
      <c r="K2" s="2" t="str">
        <f>_xlfn.CONCAT(Table1[Json Schema])</f>
        <v xml:space="preserve">    "avoid_portals": {
      "type": "boolean",
      "default": false,
      "description": "Tells the pathfinder to avoid portals (like nether portals) when finding a path",
      "title": "avoid_portals"
    },
    "avoid_sun": {
      "type": "boolean",
      "default": false,
      "description": "Whether or not the pathfinder should avoid tiles that are exposed to the sun when creating paths",
      "title": "avoid_sun"
    },
    "avoid_water": {
      "type": "boolean",
      "default": false,
      "description": "Tells the pathfinder to avoid water when creating a path",
      "title": "avoid_water"
    },
    "can_break_doors": {
      "type": "boolean",
      "default": false,
      "description": "Tells the pathfinder that it can path through a closed door and break it",
      "title": "can_break_doors"
    },
    "can_open_doors": {
      "type": "boolean",
      "default": false,
      "description": "Tells the pathfinder that it can path through a closed door assuming the AI will open the door",
      "title": "can_open_doors"
    },
    "can_open_iron_doors": {
      "type": "boolean",
      "default": false,
      "description": "Tells the pathfinder that it can path through a closed iron door assuming the AI will open the door",
      "title": "can_open_iron_doors"
    },
    "can_pass_doors": {
      "type": "boolean",
      "default": true,
      "description": "Whether a path can be created through a door",
      "title": "can_pass_doors"
    },
    "can_path_from_air": {
      "type": "boolean",
      "default": false,
      "description": "Tells the pathfinder that it can start pathing when in the air",
      "title": "can_path_from_air"
    },
    "can_path_over_lava": {
      "type": "boolean",
      "default": false,
      "description": "Tells the pathfinder whether or not it can travel on the surface of the lava",
      "title": "can_path_over_lava"
    },
    "can_path_over_water": {
      "type": "boolean",
      "default": false,
      "description": "Tells the pathfinder whether or not it can travel on the surface of the water",
      "title": "can_path_over_water"
    },
    "can_sink": {
      "type": "boolean",
      "default": true,
      "description": "Tells the pathfinder whether or not it will be pulled down by gravity while in water",
      "title": "can_sink"
    },
    "can_walk_in_lava": {
      "type": "boolean",
      "default": false,
      "description": "Tells the pathfinder whether or not it can travel in lava like walking on ground",
      "title": "can_walk_in_lava"
    },
</v>
      </c>
    </row>
    <row r="3" spans="1:11" ht="31.5" thickTop="1" thickBot="1" x14ac:dyDescent="0.3">
      <c r="A3" s="4" t="s">
        <v>13</v>
      </c>
      <c r="B3" s="4" t="s">
        <v>10</v>
      </c>
      <c r="C3" s="4" t="b">
        <v>0</v>
      </c>
      <c r="D3" s="4" t="s">
        <v>14</v>
      </c>
      <c r="E3" t="str">
        <f>Table1[[#This Row],[Name]]</f>
        <v>avoid_sun</v>
      </c>
      <c r="F3" t="str">
        <f>SUBSTITUTE(SUBSTITUTE(LOWER(Table1[[#This Row],[Type]]),"decimal", "number"), "list", "array")</f>
        <v>boolean</v>
      </c>
      <c r="G3" s="3" t="str">
        <f>IF(Table1[[#This Row],[Ctype]]="string", CHAR(34) &amp; Table1[[#This Row],[Default Value]] &amp; CHAR(34), LOWER(Table1[[#This Row],[Default Value]]))</f>
        <v>false</v>
      </c>
      <c r="H3" t="str">
        <f>SUBSTITUTE(Table1[[#This Row],[Description]], CHAR(34), "\" &amp; CHAR(34))</f>
        <v>Whether or not the pathfinder should avoid tiles that are exposed to the sun when creating paths</v>
      </c>
      <c r="I3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"avoid_sun": {
      "type": "boolean",
      "default": false,
      "description": "Whether or not the pathfinder should avoid tiles that are exposed to the sun when creating paths",
      "title": "avoid_sun"
    },
</v>
      </c>
    </row>
    <row r="4" spans="1:11" ht="16.5" thickTop="1" thickBot="1" x14ac:dyDescent="0.3">
      <c r="A4" s="4" t="s">
        <v>9</v>
      </c>
      <c r="B4" s="4" t="s">
        <v>10</v>
      </c>
      <c r="C4" s="4" t="b">
        <v>0</v>
      </c>
      <c r="D4" s="4" t="s">
        <v>15</v>
      </c>
      <c r="E4" t="str">
        <f>Table1[[#This Row],[Name]]</f>
        <v>avoid_water</v>
      </c>
      <c r="F4" t="str">
        <f>SUBSTITUTE(SUBSTITUTE(LOWER(Table1[[#This Row],[Type]]),"decimal", "number"), "list", "array")</f>
        <v>boolean</v>
      </c>
      <c r="G4" s="3" t="str">
        <f>IF(Table1[[#This Row],[Ctype]]="string", CHAR(34) &amp; Table1[[#This Row],[Default Value]] &amp; CHAR(34), LOWER(Table1[[#This Row],[Default Value]]))</f>
        <v>false</v>
      </c>
      <c r="H4" t="str">
        <f>SUBSTITUTE(Table1[[#This Row],[Description]], CHAR(34), "\" &amp; CHAR(34))</f>
        <v>Tells the pathfinder to avoid water when creating a path</v>
      </c>
      <c r="I4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"avoid_water": {
      "type": "boolean",
      "default": false,
      "description": "Tells the pathfinder to avoid water when creating a path",
      "title": "avoid_water"
    },
</v>
      </c>
    </row>
    <row r="5" spans="1:11" ht="16.5" thickTop="1" thickBot="1" x14ac:dyDescent="0.3">
      <c r="A5" s="4" t="s">
        <v>16</v>
      </c>
      <c r="B5" s="4" t="s">
        <v>10</v>
      </c>
      <c r="C5" s="4" t="b">
        <v>0</v>
      </c>
      <c r="D5" s="4" t="s">
        <v>17</v>
      </c>
      <c r="E5" t="str">
        <f>Table1[[#This Row],[Name]]</f>
        <v>can_break_doors</v>
      </c>
      <c r="F5" t="str">
        <f>SUBSTITUTE(SUBSTITUTE(LOWER(Table1[[#This Row],[Type]]),"decimal", "number"), "list", "array")</f>
        <v>boolean</v>
      </c>
      <c r="G5" s="3" t="str">
        <f>IF(Table1[[#This Row],[Ctype]]="string", CHAR(34) &amp; Table1[[#This Row],[Default Value]] &amp; CHAR(34), LOWER(Table1[[#This Row],[Default Value]]))</f>
        <v>false</v>
      </c>
      <c r="H5" t="str">
        <f>SUBSTITUTE(Table1[[#This Row],[Description]], CHAR(34), "\" &amp; CHAR(34))</f>
        <v>Tells the pathfinder that it can path through a closed door and break it</v>
      </c>
      <c r="I5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"can_break_doors": {
      "type": "boolean",
      "default": false,
      "description": "Tells the pathfinder that it can path through a closed door and break it",
      "title": "can_break_doors"
    },
</v>
      </c>
    </row>
    <row r="6" spans="1:11" ht="31.5" thickTop="1" thickBot="1" x14ac:dyDescent="0.3">
      <c r="A6" s="4" t="s">
        <v>18</v>
      </c>
      <c r="B6" s="4" t="s">
        <v>10</v>
      </c>
      <c r="C6" s="4" t="b">
        <v>0</v>
      </c>
      <c r="D6" s="4" t="s">
        <v>19</v>
      </c>
      <c r="E6" t="str">
        <f>Table1[[#This Row],[Name]]</f>
        <v>can_open_doors</v>
      </c>
      <c r="F6" t="str">
        <f>SUBSTITUTE(SUBSTITUTE(LOWER(Table1[[#This Row],[Type]]),"decimal", "number"), "list", "array")</f>
        <v>boolean</v>
      </c>
      <c r="G6" s="3" t="str">
        <f>IF(Table1[[#This Row],[Ctype]]="string", CHAR(34) &amp; Table1[[#This Row],[Default Value]] &amp; CHAR(34), LOWER(Table1[[#This Row],[Default Value]]))</f>
        <v>false</v>
      </c>
      <c r="H6" t="str">
        <f>SUBSTITUTE(Table1[[#This Row],[Description]], CHAR(34), "\" &amp; CHAR(34))</f>
        <v>Tells the pathfinder that it can path through a closed door assuming the AI will open the door</v>
      </c>
      <c r="I6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"can_open_doors": {
      "type": "boolean",
      "default": false,
      "description": "Tells the pathfinder that it can path through a closed door assuming the AI will open the door",
      "title": "can_open_doors"
    },
</v>
      </c>
    </row>
    <row r="7" spans="1:11" ht="31.5" thickTop="1" thickBot="1" x14ac:dyDescent="0.3">
      <c r="A7" s="4" t="s">
        <v>20</v>
      </c>
      <c r="B7" s="4" t="s">
        <v>10</v>
      </c>
      <c r="C7" s="4" t="b">
        <v>0</v>
      </c>
      <c r="D7" s="4" t="s">
        <v>21</v>
      </c>
      <c r="E7" t="str">
        <f>Table1[[#This Row],[Name]]</f>
        <v>can_open_iron_doors</v>
      </c>
      <c r="F7" t="str">
        <f>SUBSTITUTE(SUBSTITUTE(LOWER(Table1[[#This Row],[Type]]),"decimal", "number"), "list", "array")</f>
        <v>boolean</v>
      </c>
      <c r="G7" s="3" t="str">
        <f>IF(Table1[[#This Row],[Ctype]]="string", CHAR(34) &amp; Table1[[#This Row],[Default Value]] &amp; CHAR(34), LOWER(Table1[[#This Row],[Default Value]]))</f>
        <v>false</v>
      </c>
      <c r="H7" t="str">
        <f>SUBSTITUTE(Table1[[#This Row],[Description]], CHAR(34), "\" &amp; CHAR(34))</f>
        <v>Tells the pathfinder that it can path through a closed iron door assuming the AI will open the door</v>
      </c>
      <c r="I7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"can_open_iron_doors": {
      "type": "boolean",
      "default": false,
      "description": "Tells the pathfinder that it can path through a closed iron door assuming the AI will open the door",
      "title": "can_open_iron_doors"
    },
</v>
      </c>
    </row>
    <row r="8" spans="1:11" ht="16.5" thickTop="1" thickBot="1" x14ac:dyDescent="0.3">
      <c r="A8" s="4" t="s">
        <v>22</v>
      </c>
      <c r="B8" s="4" t="s">
        <v>10</v>
      </c>
      <c r="C8" s="4" t="b">
        <v>1</v>
      </c>
      <c r="D8" s="4" t="s">
        <v>23</v>
      </c>
      <c r="E8" t="str">
        <f>Table1[[#This Row],[Name]]</f>
        <v>can_pass_doors</v>
      </c>
      <c r="F8" t="str">
        <f>SUBSTITUTE(SUBSTITUTE(LOWER(Table1[[#This Row],[Type]]),"decimal", "number"), "list", "array")</f>
        <v>boolean</v>
      </c>
      <c r="G8" s="3" t="str">
        <f>IF(Table1[[#This Row],[Ctype]]="string", CHAR(34) &amp; Table1[[#This Row],[Default Value]] &amp; CHAR(34), LOWER(Table1[[#This Row],[Default Value]]))</f>
        <v>true</v>
      </c>
      <c r="H8" t="str">
        <f>SUBSTITUTE(Table1[[#This Row],[Description]], CHAR(34), "\" &amp; CHAR(34))</f>
        <v>Whether a path can be created through a door</v>
      </c>
      <c r="I8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"can_pass_doors": {
      "type": "boolean",
      "default": true,
      "description": "Whether a path can be created through a door",
      "title": "can_pass_doors"
    },
</v>
      </c>
    </row>
    <row r="9" spans="1:11" ht="31.5" thickTop="1" thickBot="1" x14ac:dyDescent="0.3">
      <c r="A9" s="4" t="s">
        <v>24</v>
      </c>
      <c r="B9" s="4" t="s">
        <v>10</v>
      </c>
      <c r="C9" s="4" t="b">
        <v>0</v>
      </c>
      <c r="D9" s="4" t="s">
        <v>25</v>
      </c>
      <c r="E9" t="str">
        <f>Table1[[#This Row],[Name]]</f>
        <v>can_path_from_air</v>
      </c>
      <c r="F9" t="str">
        <f>SUBSTITUTE(SUBSTITUTE(LOWER(Table1[[#This Row],[Type]]),"decimal", "number"), "list", "array")</f>
        <v>boolean</v>
      </c>
      <c r="G9" s="3" t="str">
        <f>IF(Table1[[#This Row],[Ctype]]="string", CHAR(34) &amp; Table1[[#This Row],[Default Value]] &amp; CHAR(34), LOWER(Table1[[#This Row],[Default Value]]))</f>
        <v>false</v>
      </c>
      <c r="H9" t="str">
        <f>SUBSTITUTE(Table1[[#This Row],[Description]], CHAR(34), "\" &amp; CHAR(34))</f>
        <v>Tells the pathfinder that it can start pathing when in the air</v>
      </c>
      <c r="I9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"can_path_from_air": {
      "type": "boolean",
      "default": false,
      "description": "Tells the pathfinder that it can start pathing when in the air",
      "title": "can_path_from_air"
    },
</v>
      </c>
    </row>
    <row r="10" spans="1:11" ht="31.5" thickTop="1" thickBot="1" x14ac:dyDescent="0.3">
      <c r="A10" s="4" t="s">
        <v>26</v>
      </c>
      <c r="B10" s="4" t="s">
        <v>10</v>
      </c>
      <c r="C10" s="4" t="b">
        <v>0</v>
      </c>
      <c r="D10" s="4" t="s">
        <v>27</v>
      </c>
      <c r="E10" t="str">
        <f>Table1[[#This Row],[Name]]</f>
        <v>can_path_over_lava</v>
      </c>
      <c r="F10" t="str">
        <f>SUBSTITUTE(SUBSTITUTE(LOWER(Table1[[#This Row],[Type]]),"decimal", "number"), "list", "array")</f>
        <v>boolean</v>
      </c>
      <c r="G10" s="3" t="str">
        <f>IF(Table1[[#This Row],[Ctype]]="string", CHAR(34) &amp; Table1[[#This Row],[Default Value]] &amp; CHAR(34), LOWER(Table1[[#This Row],[Default Value]]))</f>
        <v>false</v>
      </c>
      <c r="H10" t="str">
        <f>SUBSTITUTE(Table1[[#This Row],[Description]], CHAR(34), "\" &amp; CHAR(34))</f>
        <v>Tells the pathfinder whether or not it can travel on the surface of the lava</v>
      </c>
      <c r="I10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"can_path_over_lava": {
      "type": "boolean",
      "default": false,
      "description": "Tells the pathfinder whether or not it can travel on the surface of the lava",
      "title": "can_path_over_lava"
    },
</v>
      </c>
    </row>
    <row r="11" spans="1:11" ht="31.5" thickTop="1" thickBot="1" x14ac:dyDescent="0.3">
      <c r="A11" s="4" t="s">
        <v>28</v>
      </c>
      <c r="B11" s="4" t="s">
        <v>10</v>
      </c>
      <c r="C11" s="4" t="b">
        <v>0</v>
      </c>
      <c r="D11" s="4" t="s">
        <v>29</v>
      </c>
      <c r="E11" t="str">
        <f>Table1[[#This Row],[Name]]</f>
        <v>can_path_over_water</v>
      </c>
      <c r="F11" t="str">
        <f>SUBSTITUTE(SUBSTITUTE(LOWER(Table1[[#This Row],[Type]]),"decimal", "number"), "list", "array")</f>
        <v>boolean</v>
      </c>
      <c r="G11" s="3" t="str">
        <f>IF(Table1[[#This Row],[Ctype]]="string", CHAR(34) &amp; Table1[[#This Row],[Default Value]] &amp; CHAR(34), LOWER(Table1[[#This Row],[Default Value]]))</f>
        <v>false</v>
      </c>
      <c r="H11" t="str">
        <f>SUBSTITUTE(Table1[[#This Row],[Description]], CHAR(34), "\" &amp; CHAR(34))</f>
        <v>Tells the pathfinder whether or not it can travel on the surface of the water</v>
      </c>
      <c r="I11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"can_path_over_water": {
      "type": "boolean",
      "default": false,
      "description": "Tells the pathfinder whether or not it can travel on the surface of the water",
      "title": "can_path_over_water"
    },
</v>
      </c>
    </row>
    <row r="12" spans="1:11" ht="31.5" thickTop="1" thickBot="1" x14ac:dyDescent="0.3">
      <c r="A12" s="4" t="s">
        <v>30</v>
      </c>
      <c r="B12" s="4" t="s">
        <v>10</v>
      </c>
      <c r="C12" s="4" t="b">
        <v>1</v>
      </c>
      <c r="D12" s="4" t="s">
        <v>31</v>
      </c>
      <c r="E12" t="str">
        <f>Table1[[#This Row],[Name]]</f>
        <v>can_sink</v>
      </c>
      <c r="F12" t="str">
        <f>SUBSTITUTE(SUBSTITUTE(LOWER(Table1[[#This Row],[Type]]),"decimal", "number"), "list", "array")</f>
        <v>boolean</v>
      </c>
      <c r="G12" s="3" t="str">
        <f>IF(Table1[[#This Row],[Ctype]]="string", CHAR(34) &amp; Table1[[#This Row],[Default Value]] &amp; CHAR(34), LOWER(Table1[[#This Row],[Default Value]]))</f>
        <v>true</v>
      </c>
      <c r="H12" t="str">
        <f>SUBSTITUTE(Table1[[#This Row],[Description]], CHAR(34), "\" &amp; CHAR(34))</f>
        <v>Tells the pathfinder whether or not it will be pulled down by gravity while in water</v>
      </c>
      <c r="I12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"can_sink": {
      "type": "boolean",
      "default": true,
      "description": "Tells the pathfinder whether or not it will be pulled down by gravity while in water",
      "title": "can_sink"
    },
</v>
      </c>
    </row>
    <row r="13" spans="1:11" ht="31.5" thickTop="1" thickBot="1" x14ac:dyDescent="0.3">
      <c r="A13" s="4" t="s">
        <v>32</v>
      </c>
      <c r="B13" s="4" t="s">
        <v>10</v>
      </c>
      <c r="C13" s="4" t="b">
        <v>0</v>
      </c>
      <c r="D13" s="4" t="s">
        <v>33</v>
      </c>
      <c r="E13" t="str">
        <f>Table1[[#This Row],[Name]]</f>
        <v>can_walk_in_lava</v>
      </c>
      <c r="F13" t="str">
        <f>SUBSTITUTE(SUBSTITUTE(LOWER(Table1[[#This Row],[Type]]),"decimal", "number"), "list", "array")</f>
        <v>boolean</v>
      </c>
      <c r="G13" s="3" t="str">
        <f>IF(Table1[[#This Row],[Ctype]]="string", CHAR(34) &amp; Table1[[#This Row],[Default Value]] &amp; CHAR(34), LOWER(Table1[[#This Row],[Default Value]]))</f>
        <v>false</v>
      </c>
      <c r="H13" t="str">
        <f>SUBSTITUTE(Table1[[#This Row],[Description]], CHAR(34), "\" &amp; CHAR(34))</f>
        <v>Tells the pathfinder whether or not it can travel in lava like walking on ground</v>
      </c>
      <c r="I13" t="str">
        <f>SUBSTITUTE(SUBSTITUTE(SUBSTITUTE(SUBSTITUTE(SUBSTITUTE(Template, "$NAME$", Table1[[#This Row],[Cname]]), "$TYPE$", Table1[[#This Row],[Ctype]]), "$DESCRIPTION$", Table1[[#This Row],[Cdescription]]), "$VALUE$",Table1[[#This Row],[Cdefault]]), "$TITLE$", Table1[[#This Row],[Name]])</f>
        <v xml:space="preserve">    "can_walk_in_lava": {
      "type": "boolean",
      "default": false,
      "description": "Tells the pathfinder whether or not it can travel in lava like walking on ground",
      "title": "can_walk_in_lava"
    },
</v>
      </c>
    </row>
    <row r="14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2020-05-30T15:10:52Z</dcterms:modified>
</cp:coreProperties>
</file>