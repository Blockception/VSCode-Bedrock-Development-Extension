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Blockception\VSCode-Bedrock-Development-Extension\tools\"/>
    </mc:Choice>
  </mc:AlternateContent>
  <xr:revisionPtr revIDLastSave="0" documentId="13_ncr:1_{20E7A079-A039-4BC6-8024-623CC1C9030D}" xr6:coauthVersionLast="45" xr6:coauthVersionMax="45" xr10:uidLastSave="{00000000-0000-0000-0000-000000000000}"/>
  <bookViews>
    <workbookView xWindow="-120" yWindow="-120" windowWidth="29040" windowHeight="15840" activeTab="1" xr2:uid="{03531832-3421-4F1A-B28C-9978E920E8BE}"/>
  </bookViews>
  <sheets>
    <sheet name="Item" sheetId="3" r:id="rId1"/>
    <sheet name="Sheet1" sheetId="1" r:id="rId2"/>
    <sheet name="Data" sheetId="2" r:id="rId3"/>
  </sheets>
  <definedNames>
    <definedName name="Template">Data!$A$1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F2" i="1"/>
  <c r="G2" i="1" s="1"/>
  <c r="I2" i="1" s="1"/>
  <c r="F3" i="1"/>
  <c r="G3" i="1" s="1"/>
  <c r="I3" i="1" s="1"/>
  <c r="F4" i="1"/>
  <c r="G4" i="1" s="1"/>
  <c r="I4" i="1" s="1"/>
  <c r="F5" i="1"/>
  <c r="G5" i="1" s="1"/>
  <c r="F6" i="1"/>
  <c r="G6" i="1" s="1"/>
  <c r="I6" i="1" s="1"/>
  <c r="H2" i="1"/>
  <c r="H3" i="1"/>
  <c r="H4" i="1"/>
  <c r="H5" i="1"/>
  <c r="I5" i="1" s="1"/>
  <c r="H6" i="1"/>
  <c r="D2" i="3" l="1"/>
  <c r="E2" i="3"/>
  <c r="F2" i="3" s="1"/>
  <c r="G2" i="3"/>
  <c r="H2" i="3"/>
  <c r="K2" i="1" l="1"/>
  <c r="J2" i="3"/>
</calcChain>
</file>

<file path=xl/sharedStrings.xml><?xml version="1.0" encoding="utf-8"?>
<sst xmlns="http://schemas.openxmlformats.org/spreadsheetml/2006/main" count="36" uniqueCount="25">
  <si>
    <t>Name</t>
  </si>
  <si>
    <t>Type</t>
  </si>
  <si>
    <t>Default Value</t>
  </si>
  <si>
    <t>Description</t>
  </si>
  <si>
    <t>Json Schema</t>
  </si>
  <si>
    <t>Cname</t>
  </si>
  <si>
    <t>Ctype</t>
  </si>
  <si>
    <t>Cdescription</t>
  </si>
  <si>
    <t>Cdefault</t>
  </si>
  <si>
    <t xml:space="preserve">    "$NAME$": {
      "type": "$TYPE$",
      "default": $VALUE$,
      "description": "$DESCRIPTION$",
      "title": "$TITLE$"
    },
</t>
  </si>
  <si>
    <t>ingredients</t>
  </si>
  <si>
    <t>array of item names</t>
  </si>
  <si>
    <t>items used as input (without a shape) for the recipe.</t>
  </si>
  <si>
    <t>Integer</t>
  </si>
  <si>
    <t>Decimal</t>
  </si>
  <si>
    <t>speed_multiplier</t>
  </si>
  <si>
    <t>Movement speed multiplier of the mob when using this AI Goal</t>
  </si>
  <si>
    <t>cooldown_time</t>
  </si>
  <si>
    <t>Time in seconds the mob has to wait before using the goal again</t>
  </si>
  <si>
    <t>goal_radius</t>
  </si>
  <si>
    <t>Distance in blocks within the mob considers it has reached the goal. This is the "wiggle room" to stop the AI from bouncing back and forth trying to reach a specific spot</t>
  </si>
  <si>
    <t>search_range</t>
  </si>
  <si>
    <t>The distance in blocks to search for points inside villages. If &lt;= 0, find the closest village regardless of distance.</t>
  </si>
  <si>
    <t>start_chance</t>
  </si>
  <si>
    <t>This is the chance that the mob will start this goal, from 0 to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</si>
</sst>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NumberFormat="1"/>
    <xf numFmtId="0" fontId="2" fillId="0" borderId="2" xfId="0" applyFont="1" applyBorder="1" applyAlignment="1">
      <alignment vertical="center" wrapText="1"/>
    </xf>
  </cellXfs>
  <cellStyles count="1"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446C57-C8B9-4AD3-B032-91AD9E294BCC}" name="Table13" displayName="Table13" ref="A1:H2" totalsRowShown="0">
  <autoFilter ref="A1:H2" xr:uid="{439841C6-9CB3-4077-BD6A-80332BFA4FFA}"/>
  <sortState xmlns:xlrd2="http://schemas.microsoft.com/office/spreadsheetml/2017/richdata2" ref="A2:H2">
    <sortCondition ref="A1:A2"/>
  </sortState>
  <tableColumns count="8">
    <tableColumn id="1" xr3:uid="{CAE141B7-8304-420A-A1B3-D63EC10598B7}" name="Name"/>
    <tableColumn id="2" xr3:uid="{167B2AA6-D474-4333-A79A-8101562054ED}" name="Type"/>
    <tableColumn id="4" xr3:uid="{6E4D3870-543A-46B0-8EAE-220562CD8B4B}" name="Description"/>
    <tableColumn id="8" xr3:uid="{79476936-18F0-4A34-B22A-2CD82F63DCF4}" name="Cname">
      <calculatedColumnFormula>Table13[[#This Row],[Name]]</calculatedColumnFormula>
    </tableColumn>
    <tableColumn id="7" xr3:uid="{C2947D3C-98D6-4813-88A5-57032EB3B924}" name="Ctype">
      <calculatedColumnFormula>SUBSTITUTE(SUBSTITUTE(LOWER(Table13[[#This Row],[Type]]),"decimal", "number"), "list", "array")</calculatedColumnFormula>
    </tableColumn>
    <tableColumn id="9" xr3:uid="{785E0F0E-DAFE-4F6C-B94A-A2646AEA314A}" name="Cdefault" dataDxfId="3">
      <calculatedColumnFormula>IF(Table13[[#This Row],[Ctype]]="string", CHAR(34) &amp;#REF! &amp; CHAR(34), LOWER(#REF!))</calculatedColumnFormula>
    </tableColumn>
    <tableColumn id="6" xr3:uid="{38905391-079D-4DC7-95B4-296D43693D9F}" name="Cdescription">
      <calculatedColumnFormula>SUBSTITUTE(Table13[[#This Row],[Description]], CHAR(34), "\" &amp; CHAR(34))</calculatedColumnFormula>
    </tableColumn>
    <tableColumn id="5" xr3:uid="{ED53171A-0430-4004-8D17-583F8F163190}" name="Json Schema" dataDxfId="2">
      <calculatedColumnFormula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4116B3-0007-4D20-9286-68F7BD230BDB}" name="Table1" displayName="Table1" ref="A1:I6" totalsRowShown="0">
  <autoFilter ref="A1:I6" xr:uid="{439841C6-9CB3-4077-BD6A-80332BFA4FFA}"/>
  <sortState xmlns:xlrd2="http://schemas.microsoft.com/office/spreadsheetml/2017/richdata2" ref="A2:I6">
    <sortCondition ref="A1:A6"/>
  </sortState>
  <tableColumns count="9">
    <tableColumn id="1" xr3:uid="{69009C7E-E532-4DCD-BC85-F6C8A2BF783F}" name="Name"/>
    <tableColumn id="2" xr3:uid="{51C9B8E8-45FE-4EED-BB0F-05ACF960DCA5}" name="Type"/>
    <tableColumn id="3" xr3:uid="{9BEDF3B8-DD6A-493D-87E4-86F18290C962}" name="Default Value"/>
    <tableColumn id="4" xr3:uid="{460B714C-F886-43D4-BEF5-222E6519FA82}" name="Description"/>
    <tableColumn id="8" xr3:uid="{F7F4D22B-89FA-4BF7-9CD7-3493546FB499}" name="Cname">
      <calculatedColumnFormula>Table1[[#This Row],[Name]]</calculatedColumnFormula>
    </tableColumn>
    <tableColumn id="7" xr3:uid="{5BCDDD8B-3993-4CA1-9029-A7034EC6459C}" name="Ctype">
      <calculatedColumnFormula>SUBSTITUTE(SUBSTITUTE(LOWER(Table1[[#This Row],[Type]]),"decimal", "number"), "list", "array")</calculatedColumnFormula>
    </tableColumn>
    <tableColumn id="9" xr3:uid="{33B88AA2-B199-459B-811C-ED986D928870}" name="Cdefault" dataDxfId="1">
      <calculatedColumnFormula>IF(Table1[[#This Row],[Ctype]]="string", CHAR(34) &amp; Table1[[#This Row],[Default Value]] &amp; CHAR(34), LOWER(Table1[[#This Row],[Default Value]]))</calculatedColumnFormula>
    </tableColumn>
    <tableColumn id="6" xr3:uid="{367BB0CD-8D97-419C-A3FC-663E45A6296E}" name="Cdescription">
      <calculatedColumnFormula>SUBSTITUTE(Table1[[#This Row],[Description]], CHAR(34), "\" &amp; CHAR(34))</calculatedColumnFormula>
    </tableColumn>
    <tableColumn id="5" xr3:uid="{203405C4-B9D5-43A2-B6BA-2A1280C3378D}" name="Json Schema" dataDxfId="0">
      <calculatedColumnFormula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5DFF6-A942-43EC-BF3A-8A01DF4D4042}">
  <sheetPr codeName="Sheet3"/>
  <dimension ref="A1:J3"/>
  <sheetViews>
    <sheetView workbookViewId="0">
      <selection activeCell="H23" sqref="H23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65.7109375" bestFit="1" customWidth="1"/>
    <col min="4" max="4" width="18.140625" hidden="1" customWidth="1"/>
    <col min="5" max="6" width="8.42578125" hidden="1" customWidth="1"/>
    <col min="7" max="7" width="15.140625" hidden="1" customWidth="1"/>
    <col min="8" max="8" width="14.28515625" customWidth="1"/>
  </cols>
  <sheetData>
    <row r="1" spans="1:10" ht="52.5" customHeight="1" thickBot="1" x14ac:dyDescent="0.3">
      <c r="A1" t="s">
        <v>0</v>
      </c>
      <c r="B1" t="s">
        <v>1</v>
      </c>
      <c r="C1" t="s">
        <v>3</v>
      </c>
      <c r="D1" t="s">
        <v>5</v>
      </c>
      <c r="E1" t="s">
        <v>6</v>
      </c>
      <c r="F1" t="s">
        <v>8</v>
      </c>
      <c r="G1" t="s">
        <v>7</v>
      </c>
      <c r="H1" t="s">
        <v>4</v>
      </c>
    </row>
    <row r="2" spans="1:10" ht="46.5" thickTop="1" thickBot="1" x14ac:dyDescent="0.3">
      <c r="A2" s="4" t="s">
        <v>10</v>
      </c>
      <c r="B2" s="4" t="s">
        <v>11</v>
      </c>
      <c r="C2" s="4" t="s">
        <v>12</v>
      </c>
      <c r="D2" t="str">
        <f>Table13[[#This Row],[Name]]</f>
        <v>ingredients</v>
      </c>
      <c r="E2" t="str">
        <f>SUBSTITUTE(SUBSTITUTE(LOWER(Table13[[#This Row],[Type]]),"decimal", "number"), "list", "array")</f>
        <v>array of item names</v>
      </c>
      <c r="F2" s="3" t="e">
        <f>IF(Table13[[#This Row],[Ctype]]="string", CHAR(34) &amp;#REF! &amp; CHAR(34), LOWER(#REF!))</f>
        <v>#REF!</v>
      </c>
      <c r="G2" t="str">
        <f>SUBSTITUTE(Table13[[#This Row],[Description]], CHAR(34), "\" &amp; CHAR(34))</f>
        <v>items used as input (without a shape) for the recipe.</v>
      </c>
      <c r="H2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"ingredients": {
      "type": "array of item names",
      "default": ,
      "description": "items used as input (without a shape) for the recipe.",
      "title": "ingredients"
    },
</v>
      </c>
      <c r="J2" s="2" t="str">
        <f>_xlfn.CONCAT(Table13[Json Schema])</f>
        <v xml:space="preserve">    "ingredients": {
      "type": "array of item names",
      "default": ,
      "description": "items used as input (without a shape) for the recipe.",
      "title": "ingredients"
    },
</v>
      </c>
    </row>
    <row r="3" spans="1:10" ht="15.75" thickTop="1" x14ac:dyDescent="0.25"/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2_Click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acro3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D6657-4584-43E8-87D9-83BF6B68546D}">
  <sheetPr codeName="Sheet1"/>
  <dimension ref="A1:K7"/>
  <sheetViews>
    <sheetView tabSelected="1" workbookViewId="0">
      <selection activeCell="A2" sqref="A2:D6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15.28515625" customWidth="1"/>
    <col min="4" max="4" width="65.7109375" bestFit="1" customWidth="1"/>
    <col min="5" max="5" width="18.140625" hidden="1" customWidth="1"/>
    <col min="6" max="7" width="8.42578125" hidden="1" customWidth="1"/>
    <col min="8" max="8" width="15.140625" hidden="1" customWidth="1"/>
    <col min="9" max="9" width="14.28515625" customWidth="1"/>
  </cols>
  <sheetData>
    <row r="1" spans="1:11" ht="52.5" customHeight="1" thickBot="1" x14ac:dyDescent="0.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6</v>
      </c>
      <c r="G1" t="s">
        <v>8</v>
      </c>
      <c r="H1" t="s">
        <v>7</v>
      </c>
      <c r="I1" t="s">
        <v>4</v>
      </c>
    </row>
    <row r="2" spans="1:11" ht="16.5" thickTop="1" thickBot="1" x14ac:dyDescent="0.3">
      <c r="A2" s="4" t="s">
        <v>17</v>
      </c>
      <c r="B2" s="4" t="s">
        <v>14</v>
      </c>
      <c r="C2" s="4">
        <v>0</v>
      </c>
      <c r="D2" s="4" t="s">
        <v>18</v>
      </c>
      <c r="E2" t="str">
        <f>Table1[[#This Row],[Name]]</f>
        <v>cooldown_time</v>
      </c>
      <c r="F2" t="str">
        <f>SUBSTITUTE(SUBSTITUTE(LOWER(Table1[[#This Row],[Type]]),"decimal", "number"), "list", "array")</f>
        <v>number</v>
      </c>
      <c r="G2" s="3" t="str">
        <f>IF(Table1[[#This Row],[Ctype]]="string", CHAR(34) &amp; Table1[[#This Row],[Default Value]] &amp; CHAR(34), LOWER(Table1[[#This Row],[Default Value]]))</f>
        <v>0</v>
      </c>
      <c r="H2" t="str">
        <f>SUBSTITUTE(Table1[[#This Row],[Description]], CHAR(34), "\" &amp; CHAR(34))</f>
        <v>Time in seconds the mob has to wait before using the goal again</v>
      </c>
      <c r="I2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"cooldown_time": {
      "type": "number",
      "default": 0,
      "description": "Time in seconds the mob has to wait before using the goal again",
      "title": "cooldown time"
    },
</v>
      </c>
      <c r="K2" s="2" t="str">
        <f>_xlfn.CONCAT(Table1[Json Schema])</f>
        <v xml:space="preserve">    "cooldown_time": {
      "type": "number",
      "default": 0,
      "description": "Time in seconds the mob has to wait before using the goal again",
      "title": "cooldown time"
    },
    "goal_radius": {
      "type": "number",
      "default": 0.5,
      "description": "Distance in blocks within the mob considers it has reached the goal. This is the \"wiggle room\" to stop the AI from bouncing back and forth trying to reach a specific spot",
      "title": "goal radius"
    },
    "search_range": {
      "type": "integer",
      "default": 0,
      "description": "The distance in blocks to search for points inside villages. If &lt;= 0, find the closest village regardless of distance.",
      "title": "search range"
    },
    "speed_multiplier": {
      "type": "number",
      "default": 1,
      "description": "Movement speed multiplier of the mob when using this AI Goal",
      "title": "speed multiplier"
    },
    "start_chance": {
      "type": "number",
      "default": 0.1,
      "description": "This is the chance that the mob will start this goal, from 0 to 1",
      "title": "start chance"
    },
</v>
      </c>
    </row>
    <row r="3" spans="1:11" ht="46.5" thickTop="1" thickBot="1" x14ac:dyDescent="0.3">
      <c r="A3" s="4" t="s">
        <v>19</v>
      </c>
      <c r="B3" s="4" t="s">
        <v>14</v>
      </c>
      <c r="C3" s="4">
        <v>0.5</v>
      </c>
      <c r="D3" s="4" t="s">
        <v>20</v>
      </c>
      <c r="E3" t="str">
        <f>Table1[[#This Row],[Name]]</f>
        <v>goal_radius</v>
      </c>
      <c r="F3" t="str">
        <f>SUBSTITUTE(SUBSTITUTE(LOWER(Table1[[#This Row],[Type]]),"decimal", "number"), "list", "array")</f>
        <v>number</v>
      </c>
      <c r="G3" s="3" t="str">
        <f>IF(Table1[[#This Row],[Ctype]]="string", CHAR(34) &amp; Table1[[#This Row],[Default Value]] &amp; CHAR(34), LOWER(Table1[[#This Row],[Default Value]]))</f>
        <v>0.5</v>
      </c>
      <c r="H3" t="str">
        <f>SUBSTITUTE(Table1[[#This Row],[Description]], CHAR(34), "\" &amp; CHAR(34))</f>
        <v>Distance in blocks within the mob considers it has reached the goal. This is the \"wiggle room\" to stop the AI from bouncing back and forth trying to reach a specific spot</v>
      </c>
      <c r="I3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"goal_radius": {
      "type": "number",
      "default": 0.5,
      "description": "Distance in blocks within the mob considers it has reached the goal. This is the \"wiggle room\" to stop the AI from bouncing back and forth trying to reach a specific spot",
      "title": "goal radius"
    },
</v>
      </c>
    </row>
    <row r="4" spans="1:11" ht="31.5" thickTop="1" thickBot="1" x14ac:dyDescent="0.3">
      <c r="A4" s="4" t="s">
        <v>21</v>
      </c>
      <c r="B4" s="4" t="s">
        <v>13</v>
      </c>
      <c r="C4" s="4">
        <v>0</v>
      </c>
      <c r="D4" s="4" t="s">
        <v>22</v>
      </c>
      <c r="E4" t="str">
        <f>Table1[[#This Row],[Name]]</f>
        <v>search_range</v>
      </c>
      <c r="F4" t="str">
        <f>SUBSTITUTE(SUBSTITUTE(LOWER(Table1[[#This Row],[Type]]),"decimal", "number"), "list", "array")</f>
        <v>integer</v>
      </c>
      <c r="G4" s="3" t="str">
        <f>IF(Table1[[#This Row],[Ctype]]="string", CHAR(34) &amp; Table1[[#This Row],[Default Value]] &amp; CHAR(34), LOWER(Table1[[#This Row],[Default Value]]))</f>
        <v>0</v>
      </c>
      <c r="H4" t="str">
        <f>SUBSTITUTE(Table1[[#This Row],[Description]], CHAR(34), "\" &amp; CHAR(34))</f>
        <v>The distance in blocks to search for points inside villages. If &lt;= 0, find the closest village regardless of distance.</v>
      </c>
      <c r="I4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"search_range": {
      "type": "integer",
      "default": 0,
      "description": "The distance in blocks to search for points inside villages. If &lt;= 0, find the closest village regardless of distance.",
      "title": "search range"
    },
</v>
      </c>
    </row>
    <row r="5" spans="1:11" ht="16.5" thickTop="1" thickBot="1" x14ac:dyDescent="0.3">
      <c r="A5" s="4" t="s">
        <v>15</v>
      </c>
      <c r="B5" s="4" t="s">
        <v>14</v>
      </c>
      <c r="C5" s="4">
        <v>1</v>
      </c>
      <c r="D5" s="4" t="s">
        <v>16</v>
      </c>
      <c r="E5" t="str">
        <f>Table1[[#This Row],[Name]]</f>
        <v>speed_multiplier</v>
      </c>
      <c r="F5" t="str">
        <f>SUBSTITUTE(SUBSTITUTE(LOWER(Table1[[#This Row],[Type]]),"decimal", "number"), "list", "array")</f>
        <v>number</v>
      </c>
      <c r="G5" s="3" t="str">
        <f>IF(Table1[[#This Row],[Ctype]]="string", CHAR(34) &amp; Table1[[#This Row],[Default Value]] &amp; CHAR(34), LOWER(Table1[[#This Row],[Default Value]]))</f>
        <v>1</v>
      </c>
      <c r="H5" t="str">
        <f>SUBSTITUTE(Table1[[#This Row],[Description]], CHAR(34), "\" &amp; CHAR(34))</f>
        <v>Movement speed multiplier of the mob when using this AI Goal</v>
      </c>
      <c r="I5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"speed_multiplier": {
      "type": "number",
      "default": 1,
      "description": "Movement speed multiplier of the mob when using this AI Goal",
      "title": "speed multiplier"
    },
</v>
      </c>
    </row>
    <row r="6" spans="1:11" ht="16.5" thickTop="1" thickBot="1" x14ac:dyDescent="0.3">
      <c r="A6" s="4" t="s">
        <v>23</v>
      </c>
      <c r="B6" s="4" t="s">
        <v>14</v>
      </c>
      <c r="C6" s="4">
        <v>0.1</v>
      </c>
      <c r="D6" s="4" t="s">
        <v>24</v>
      </c>
      <c r="E6" t="str">
        <f>Table1[[#This Row],[Name]]</f>
        <v>start_chance</v>
      </c>
      <c r="F6" t="str">
        <f>SUBSTITUTE(SUBSTITUTE(LOWER(Table1[[#This Row],[Type]]),"decimal", "number"), "list", "array")</f>
        <v>number</v>
      </c>
      <c r="G6" s="3" t="str">
        <f>IF(Table1[[#This Row],[Ctype]]="string", CHAR(34) &amp; Table1[[#This Row],[Default Value]] &amp; CHAR(34), LOWER(Table1[[#This Row],[Default Value]]))</f>
        <v>0.1</v>
      </c>
      <c r="H6" t="str">
        <f>SUBSTITUTE(Table1[[#This Row],[Description]], CHAR(34), "\" &amp; CHAR(34))</f>
        <v>This is the chance that the mob will start this goal, from 0 to 1</v>
      </c>
      <c r="I6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"start_chance": {
      "type": "number",
      "default": 0.1,
      "description": "This is the chance that the mob will start this goal, from 0 to 1",
      "title": "start chance"
    },
</v>
      </c>
    </row>
    <row r="7" spans="1:11" ht="15.75" thickTop="1" x14ac:dyDescent="0.25"/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Macro2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EC5E5-17BC-4A3C-B91C-5C00D91EAD6F}">
  <sheetPr codeName="Sheet2"/>
  <dimension ref="A1"/>
  <sheetViews>
    <sheetView workbookViewId="0"/>
  </sheetViews>
  <sheetFormatPr defaultRowHeight="15" x14ac:dyDescent="0.25"/>
  <cols>
    <col min="1" max="1" width="32.42578125" bestFit="1" customWidth="1"/>
  </cols>
  <sheetData>
    <row r="1" spans="1:1" ht="120" x14ac:dyDescent="0.25">
      <c r="A1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Item</vt:lpstr>
      <vt:lpstr>Sheet1</vt:lpstr>
      <vt:lpstr>Data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daan verstraten</dc:creator>
  <cp:lastModifiedBy>daan verstraten</cp:lastModifiedBy>
  <dcterms:created xsi:type="dcterms:W3CDTF">2020-05-16T22:51:28Z</dcterms:created>
  <dcterms:modified xsi:type="dcterms:W3CDTF">2020-08-20T19:46:28Z</dcterms:modified>
</cp:coreProperties>
</file>